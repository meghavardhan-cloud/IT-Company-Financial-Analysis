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d825bcb0e8f58e/Desktop/"/>
    </mc:Choice>
  </mc:AlternateContent>
  <xr:revisionPtr revIDLastSave="776" documentId="13_ncr:1_{51C877CD-D1AB-4956-A4EB-689C97E41E82}" xr6:coauthVersionLast="47" xr6:coauthVersionMax="47" xr10:uidLastSave="{8A5BADD3-C938-41D2-8A5F-9CFABE4B5361}"/>
  <bookViews>
    <workbookView xWindow="2676" yWindow="1464" windowWidth="17280" windowHeight="8880" firstSheet="4" activeTab="6" xr2:uid="{62D6B8AD-37AD-45B1-93A4-49E44FE5B61E}"/>
  </bookViews>
  <sheets>
    <sheet name="Company-Info" sheetId="1" r:id="rId1"/>
    <sheet name="Finance_Indicators" sheetId="2" r:id="rId2"/>
    <sheet name="Ratios" sheetId="3" r:id="rId3"/>
    <sheet name="Index_Calculations" sheetId="19" r:id="rId4"/>
    <sheet name="Scale&amp;Growth" sheetId="4" r:id="rId5"/>
    <sheet name="INDEXED_SCALE&amp;GROWTH" sheetId="20" r:id="rId6"/>
    <sheet name="Efficiency&amp;Returns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9" l="1"/>
  <c r="F14" i="19"/>
  <c r="F15" i="19"/>
  <c r="F16" i="19"/>
  <c r="F12" i="19"/>
  <c r="F8" i="19"/>
  <c r="F9" i="19"/>
  <c r="F10" i="19"/>
  <c r="F11" i="19"/>
  <c r="F7" i="19"/>
  <c r="F3" i="19"/>
  <c r="F4" i="19"/>
  <c r="F5" i="19"/>
  <c r="F6" i="19"/>
  <c r="F2" i="19"/>
  <c r="E13" i="19"/>
  <c r="E14" i="19"/>
  <c r="E15" i="19"/>
  <c r="E16" i="19"/>
  <c r="E12" i="19"/>
  <c r="E8" i="19"/>
  <c r="E9" i="19"/>
  <c r="E10" i="19"/>
  <c r="E11" i="19"/>
  <c r="E7" i="19"/>
  <c r="E3" i="19"/>
  <c r="E4" i="19"/>
  <c r="E5" i="19"/>
  <c r="E6" i="19"/>
  <c r="E2" i="19"/>
  <c r="F7" i="2"/>
  <c r="F8" i="2"/>
  <c r="C8" i="3"/>
  <c r="C3" i="3"/>
  <c r="C4" i="3"/>
  <c r="C5" i="3"/>
  <c r="C6" i="3"/>
  <c r="C7" i="3"/>
  <c r="C9" i="3"/>
  <c r="C10" i="3"/>
  <c r="C11" i="3"/>
  <c r="C12" i="3"/>
  <c r="C13" i="3"/>
  <c r="C14" i="3"/>
  <c r="C15" i="3"/>
  <c r="C1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C2" i="3"/>
  <c r="F9" i="2"/>
  <c r="F10" i="2"/>
  <c r="F11" i="2"/>
  <c r="F12" i="2"/>
  <c r="F13" i="2"/>
  <c r="F14" i="2"/>
  <c r="F15" i="2"/>
  <c r="F16" i="2"/>
  <c r="F3" i="2"/>
  <c r="F4" i="2"/>
  <c r="F5" i="2"/>
  <c r="F6" i="2"/>
  <c r="F2" i="2"/>
</calcChain>
</file>

<file path=xl/sharedStrings.xml><?xml version="1.0" encoding="utf-8"?>
<sst xmlns="http://schemas.openxmlformats.org/spreadsheetml/2006/main" count="98" uniqueCount="37">
  <si>
    <t>Company Name</t>
  </si>
  <si>
    <t>Company Code</t>
  </si>
  <si>
    <t>Sector</t>
  </si>
  <si>
    <t>Cap Category</t>
  </si>
  <si>
    <t>Large Cap</t>
  </si>
  <si>
    <t>Infosys Ltd</t>
  </si>
  <si>
    <t>IT Services</t>
  </si>
  <si>
    <t>Listing</t>
  </si>
  <si>
    <t>Mid Cap</t>
  </si>
  <si>
    <t>Small Cap</t>
  </si>
  <si>
    <t>Dynacons Systems &amp;
 Solutions Ltd</t>
  </si>
  <si>
    <t>INFY</t>
  </si>
  <si>
    <t>COFORGE</t>
  </si>
  <si>
    <t>Coforge Ltd</t>
  </si>
  <si>
    <t>DSSL</t>
  </si>
  <si>
    <t>Business Focus</t>
  </si>
  <si>
    <t>Global IT &amp; Consulting</t>
  </si>
  <si>
    <t>Digital Services</t>
  </si>
  <si>
    <t>System Integration</t>
  </si>
  <si>
    <t>NSE Symbol</t>
  </si>
  <si>
    <t>BSE Code</t>
  </si>
  <si>
    <t>Financials Used</t>
  </si>
  <si>
    <t>Consolidated</t>
  </si>
  <si>
    <t>NSE &amp; BSE</t>
  </si>
  <si>
    <t>Fiscal Year</t>
  </si>
  <si>
    <r>
      <t xml:space="preserve">Revenue 
</t>
    </r>
    <r>
      <rPr>
        <sz val="11"/>
        <color theme="1"/>
        <rFont val="Calibri"/>
        <family val="2"/>
        <scheme val="minor"/>
      </rPr>
      <t>(in ₹ crore)</t>
    </r>
  </si>
  <si>
    <r>
      <t xml:space="preserve">Net Profit
 </t>
    </r>
    <r>
      <rPr>
        <sz val="11"/>
        <color theme="1"/>
        <rFont val="Calibri"/>
        <family val="2"/>
        <scheme val="minor"/>
      </rPr>
      <t>(in ₹ crore)</t>
    </r>
  </si>
  <si>
    <r>
      <t xml:space="preserve">Operating Expenses 
</t>
    </r>
    <r>
      <rPr>
        <sz val="11"/>
        <color theme="1"/>
        <rFont val="Calibri"/>
        <family val="2"/>
        <scheme val="minor"/>
      </rPr>
      <t>(in ₹ crore)</t>
    </r>
  </si>
  <si>
    <r>
      <t xml:space="preserve">Operating Profit
 </t>
    </r>
    <r>
      <rPr>
        <sz val="11"/>
        <color theme="1"/>
        <rFont val="Calibri"/>
        <family val="2"/>
        <scheme val="minor"/>
      </rPr>
      <t>(in ₹ crore</t>
    </r>
    <r>
      <rPr>
        <b/>
        <sz val="11"/>
        <color theme="1"/>
        <rFont val="Calibri"/>
        <family val="2"/>
        <scheme val="minor"/>
      </rPr>
      <t>)</t>
    </r>
  </si>
  <si>
    <r>
      <t>EPS(</t>
    </r>
    <r>
      <rPr>
        <sz val="11"/>
        <color theme="1"/>
        <rFont val="Calibri"/>
        <family val="2"/>
        <scheme val="minor"/>
      </rPr>
      <t>Basic</t>
    </r>
    <r>
      <rPr>
        <b/>
        <sz val="11"/>
        <color theme="1"/>
        <rFont val="Calibri"/>
        <family val="2"/>
        <scheme val="minor"/>
      </rPr>
      <t xml:space="preserve">) 
</t>
    </r>
    <r>
      <rPr>
        <sz val="11"/>
        <color theme="1"/>
        <rFont val="Calibri"/>
        <family val="2"/>
        <scheme val="minor"/>
      </rPr>
      <t>(in ₹)</t>
    </r>
  </si>
  <si>
    <r>
      <t>ROE</t>
    </r>
    <r>
      <rPr>
        <sz val="11"/>
        <color theme="1"/>
        <rFont val="Calibri"/>
        <family val="2"/>
        <scheme val="minor"/>
      </rPr>
      <t xml:space="preserve"> (in %)</t>
    </r>
  </si>
  <si>
    <r>
      <t>ROCE</t>
    </r>
    <r>
      <rPr>
        <sz val="11"/>
        <color theme="1"/>
        <rFont val="Calibri"/>
        <family val="2"/>
        <scheme val="minor"/>
      </rPr>
      <t xml:space="preserve"> (in %)</t>
    </r>
  </si>
  <si>
    <r>
      <t xml:space="preserve">Net Profit Margin </t>
    </r>
    <r>
      <rPr>
        <sz val="11"/>
        <color theme="1"/>
        <rFont val="Calibri"/>
        <family val="2"/>
        <scheme val="minor"/>
      </rPr>
      <t>(in %)</t>
    </r>
  </si>
  <si>
    <r>
      <t xml:space="preserve">P/E </t>
    </r>
    <r>
      <rPr>
        <sz val="11"/>
        <color theme="1"/>
        <rFont val="Calibri"/>
        <family val="2"/>
        <scheme val="minor"/>
      </rPr>
      <t>(times)</t>
    </r>
  </si>
  <si>
    <r>
      <t xml:space="preserve">Operating Profit Margin </t>
    </r>
    <r>
      <rPr>
        <sz val="11"/>
        <color theme="1"/>
        <rFont val="Calibri"/>
        <family val="2"/>
        <scheme val="minor"/>
      </rPr>
      <t>(in %)</t>
    </r>
  </si>
  <si>
    <r>
      <rPr>
        <b/>
        <sz val="11"/>
        <color theme="1"/>
        <rFont val="Calibri"/>
        <family val="2"/>
        <scheme val="minor"/>
      </rPr>
      <t>Index Revenue</t>
    </r>
    <r>
      <rPr>
        <sz val="11"/>
        <color theme="1"/>
        <rFont val="Calibri"/>
        <family val="2"/>
        <scheme val="minor"/>
      </rPr>
      <t xml:space="preserve">
(in ₹ crore)</t>
    </r>
  </si>
  <si>
    <r>
      <rPr>
        <b/>
        <sz val="11"/>
        <color theme="1"/>
        <rFont val="Calibri"/>
        <family val="2"/>
        <scheme val="minor"/>
      </rPr>
      <t>Index Net Profit</t>
    </r>
    <r>
      <rPr>
        <sz val="11"/>
        <color theme="1"/>
        <rFont val="Calibri"/>
        <family val="2"/>
        <scheme val="minor"/>
      </rPr>
      <t xml:space="preserve">
(in ₹ crore)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</si>
</sst>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43" fontId="0" fillId="0" borderId="0" xfId="1" applyFont="1"/>
    <xf numFmtId="2" fontId="0" fillId="0" borderId="0" xfId="0" applyNumberFormat="1"/>
    <xf numFmtId="43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3C9E7"/>
      <color rgb="FFECA2EE"/>
      <color rgb="FFF62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TREND (₹crore)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COFORGE</c:v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4662.8</c:v>
              </c:pt>
              <c:pt idx="1">
                <c:v>6432</c:v>
              </c:pt>
              <c:pt idx="2">
                <c:v>8014.6</c:v>
              </c:pt>
              <c:pt idx="3">
                <c:v>9179</c:v>
              </c:pt>
              <c:pt idx="4">
                <c:v>12050.7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772-4332-A857-D2B163375E07}"/>
            </c:ext>
          </c:extLst>
        </c:ser>
        <c:ser>
          <c:idx val="1"/>
          <c:order val="1"/>
          <c:tx>
            <c:v>DSSL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437.25</c:v>
              </c:pt>
              <c:pt idx="1">
                <c:v>655.84</c:v>
              </c:pt>
              <c:pt idx="2">
                <c:v>806.77</c:v>
              </c:pt>
              <c:pt idx="3">
                <c:v>1028.8499999999999</c:v>
              </c:pt>
              <c:pt idx="4">
                <c:v>1273.93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772-4332-A857-D2B163375E07}"/>
            </c:ext>
          </c:extLst>
        </c:ser>
        <c:ser>
          <c:idx val="2"/>
          <c:order val="2"/>
          <c:tx>
            <c:v>INFY</c:v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100472</c:v>
              </c:pt>
              <c:pt idx="1">
                <c:v>121641</c:v>
              </c:pt>
              <c:pt idx="2">
                <c:v>146767</c:v>
              </c:pt>
              <c:pt idx="3">
                <c:v>153670</c:v>
              </c:pt>
              <c:pt idx="4">
                <c:v>162990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772-4332-A857-D2B163375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825568"/>
        <c:axId val="1025821728"/>
      </c:lineChart>
      <c:catAx>
        <c:axId val="102582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21728"/>
        <c:crosses val="autoZero"/>
        <c:auto val="1"/>
        <c:lblAlgn val="ctr"/>
        <c:lblOffset val="100"/>
        <c:noMultiLvlLbl val="0"/>
      </c:catAx>
      <c:valAx>
        <c:axId val="102582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82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OPERATING PROFIT</a:t>
            </a:r>
            <a:r>
              <a:rPr lang="en-IN" baseline="0"/>
              <a:t> COMPARISON (₹crore)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COFORGE</c:v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595.90000000000009</c:v>
              </c:pt>
              <c:pt idx="1">
                <c:v>874.69999999999982</c:v>
              </c:pt>
              <c:pt idx="2">
                <c:v>1058.2000000000007</c:v>
              </c:pt>
              <c:pt idx="3">
                <c:v>1109.1000000000004</c:v>
              </c:pt>
              <c:pt idx="4">
                <c:v>1266.1000000000004</c:v>
              </c:pt>
            </c:numLit>
          </c:val>
          <c:extLst>
            <c:ext xmlns:c16="http://schemas.microsoft.com/office/drawing/2014/chart" uri="{C3380CC4-5D6E-409C-BE32-E72D297353CC}">
              <c16:uniqueId val="{00000000-3811-4EEE-A964-A7BEBA78F07B}"/>
            </c:ext>
          </c:extLst>
        </c:ser>
        <c:ser>
          <c:idx val="1"/>
          <c:order val="1"/>
          <c:tx>
            <c:v>DSSL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18.509999999999991</c:v>
              </c:pt>
              <c:pt idx="1">
                <c:v>30.950000000000045</c:v>
              </c:pt>
              <c:pt idx="2">
                <c:v>55.559999999999945</c:v>
              </c:pt>
              <c:pt idx="3">
                <c:v>80.8599999999999</c:v>
              </c:pt>
              <c:pt idx="4">
                <c:v>110.36000000000013</c:v>
              </c:pt>
            </c:numLit>
          </c:val>
          <c:extLst>
            <c:ext xmlns:c16="http://schemas.microsoft.com/office/drawing/2014/chart" uri="{C3380CC4-5D6E-409C-BE32-E72D297353CC}">
              <c16:uniqueId val="{00000001-3811-4EEE-A964-A7BEBA78F07B}"/>
            </c:ext>
          </c:extLst>
        </c:ser>
        <c:ser>
          <c:idx val="2"/>
          <c:order val="2"/>
          <c:tx>
            <c:v>INFY</c:v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24622</c:v>
              </c:pt>
              <c:pt idx="1">
                <c:v>28015</c:v>
              </c:pt>
              <c:pt idx="2">
                <c:v>30905</c:v>
              </c:pt>
              <c:pt idx="3">
                <c:v>31747</c:v>
              </c:pt>
              <c:pt idx="4">
                <c:v>34424</c:v>
              </c:pt>
            </c:numLit>
          </c:val>
          <c:extLst>
            <c:ext xmlns:c16="http://schemas.microsoft.com/office/drawing/2014/chart" uri="{C3380CC4-5D6E-409C-BE32-E72D297353CC}">
              <c16:uniqueId val="{00000002-3811-4EEE-A964-A7BEBA78F0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7498320"/>
        <c:axId val="1157500240"/>
      </c:barChart>
      <c:catAx>
        <c:axId val="115749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00240"/>
        <c:crosses val="autoZero"/>
        <c:auto val="1"/>
        <c:lblAlgn val="ctr"/>
        <c:lblOffset val="100"/>
        <c:noMultiLvlLbl val="0"/>
      </c:catAx>
      <c:valAx>
        <c:axId val="1157500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749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</a:t>
            </a:r>
            <a:r>
              <a:rPr lang="en-IN" baseline="0"/>
              <a:t> PROFIT GROWTH (₹crore)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2021</c:v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466</c:v>
              </c:pt>
              <c:pt idx="1">
                <c:v>8.5399999999999991</c:v>
              </c:pt>
              <c:pt idx="2">
                <c:v>19351</c:v>
              </c:pt>
            </c:numLit>
          </c:val>
          <c:extLst>
            <c:ext xmlns:c16="http://schemas.microsoft.com/office/drawing/2014/chart" uri="{C3380CC4-5D6E-409C-BE32-E72D297353CC}">
              <c16:uniqueId val="{00000000-AC5F-47BC-B107-FD3C1FA0DAB7}"/>
            </c:ext>
          </c:extLst>
        </c:ser>
        <c:ser>
          <c:idx val="1"/>
          <c:order val="1"/>
          <c:tx>
            <c:v>2022</c:v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714.7</c:v>
              </c:pt>
              <c:pt idx="1">
                <c:v>16.43</c:v>
              </c:pt>
              <c:pt idx="2">
                <c:v>22110</c:v>
              </c:pt>
            </c:numLit>
          </c:val>
          <c:extLst>
            <c:ext xmlns:c16="http://schemas.microsoft.com/office/drawing/2014/chart" uri="{C3380CC4-5D6E-409C-BE32-E72D297353CC}">
              <c16:uniqueId val="{00000001-AC5F-47BC-B107-FD3C1FA0DAB7}"/>
            </c:ext>
          </c:extLst>
        </c:ser>
        <c:ser>
          <c:idx val="2"/>
          <c:order val="2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745.1</c:v>
              </c:pt>
              <c:pt idx="1">
                <c:v>33.450000000000003</c:v>
              </c:pt>
              <c:pt idx="2">
                <c:v>24095</c:v>
              </c:pt>
            </c:numLit>
          </c:val>
          <c:extLst>
            <c:ext xmlns:c16="http://schemas.microsoft.com/office/drawing/2014/chart" uri="{C3380CC4-5D6E-409C-BE32-E72D297353CC}">
              <c16:uniqueId val="{00000002-AC5F-47BC-B107-FD3C1FA0DAB7}"/>
            </c:ext>
          </c:extLst>
        </c:ser>
        <c:ser>
          <c:idx val="3"/>
          <c:order val="3"/>
          <c:tx>
            <c:v>2024</c:v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835.6</c:v>
              </c:pt>
              <c:pt idx="1">
                <c:v>53.81</c:v>
              </c:pt>
              <c:pt idx="2">
                <c:v>26233</c:v>
              </c:pt>
            </c:numLit>
          </c:val>
          <c:extLst>
            <c:ext xmlns:c16="http://schemas.microsoft.com/office/drawing/2014/chart" uri="{C3380CC4-5D6E-409C-BE32-E72D297353CC}">
              <c16:uniqueId val="{00000003-AC5F-47BC-B107-FD3C1FA0DAB7}"/>
            </c:ext>
          </c:extLst>
        </c:ser>
        <c:ser>
          <c:idx val="4"/>
          <c:order val="4"/>
          <c:tx>
            <c:v>2025</c:v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932.6</c:v>
              </c:pt>
              <c:pt idx="1">
                <c:v>72.489999999999995</c:v>
              </c:pt>
              <c:pt idx="2">
                <c:v>26713</c:v>
              </c:pt>
            </c:numLit>
          </c:val>
          <c:extLst>
            <c:ext xmlns:c16="http://schemas.microsoft.com/office/drawing/2014/chart" uri="{C3380CC4-5D6E-409C-BE32-E72D297353CC}">
              <c16:uniqueId val="{00000004-AC5F-47BC-B107-FD3C1FA0DA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8157712"/>
        <c:axId val="1358145712"/>
      </c:barChart>
      <c:catAx>
        <c:axId val="135815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45712"/>
        <c:crosses val="autoZero"/>
        <c:auto val="1"/>
        <c:lblAlgn val="ctr"/>
        <c:lblOffset val="100"/>
        <c:noMultiLvlLbl val="0"/>
      </c:catAx>
      <c:valAx>
        <c:axId val="13581457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5815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INDEXED</a:t>
            </a:r>
            <a:r>
              <a:rPr lang="en-IN" baseline="0"/>
              <a:t> NET PROFIT GROWTH (FY21 = 100)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2021</c:v>
          </c:tx>
          <c:spPr>
            <a:solidFill>
              <a:schemeClr val="accent5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100</c:v>
              </c:pt>
              <c:pt idx="1">
                <c:v>100</c:v>
              </c:pt>
              <c:pt idx="2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0-6478-4E6F-B9F1-3EFBCF3791CC}"/>
            </c:ext>
          </c:extLst>
        </c:ser>
        <c:ser>
          <c:idx val="1"/>
          <c:order val="1"/>
          <c:tx>
            <c:v>2022</c:v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153.36909871244637</c:v>
              </c:pt>
              <c:pt idx="1">
                <c:v>192.38875878220142</c:v>
              </c:pt>
              <c:pt idx="2">
                <c:v>114.25766110278539</c:v>
              </c:pt>
            </c:numLit>
          </c:val>
          <c:extLst>
            <c:ext xmlns:c16="http://schemas.microsoft.com/office/drawing/2014/chart" uri="{C3380CC4-5D6E-409C-BE32-E72D297353CC}">
              <c16:uniqueId val="{00000001-6478-4E6F-B9F1-3EFBCF3791CC}"/>
            </c:ext>
          </c:extLst>
        </c:ser>
        <c:ser>
          <c:idx val="2"/>
          <c:order val="2"/>
          <c:tx>
            <c:v>2023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159.89270386266094</c:v>
              </c:pt>
              <c:pt idx="1">
                <c:v>391.68618266978933</c:v>
              </c:pt>
              <c:pt idx="2">
                <c:v>124.51552891323445</c:v>
              </c:pt>
            </c:numLit>
          </c:val>
          <c:extLst>
            <c:ext xmlns:c16="http://schemas.microsoft.com/office/drawing/2014/chart" uri="{C3380CC4-5D6E-409C-BE32-E72D297353CC}">
              <c16:uniqueId val="{00000002-6478-4E6F-B9F1-3EFBCF3791CC}"/>
            </c:ext>
          </c:extLst>
        </c:ser>
        <c:ser>
          <c:idx val="3"/>
          <c:order val="3"/>
          <c:tx>
            <c:v>2024</c:v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179.31330472103005</c:v>
              </c:pt>
              <c:pt idx="1">
                <c:v>630.09367681498838</c:v>
              </c:pt>
              <c:pt idx="2">
                <c:v>135.56405353728488</c:v>
              </c:pt>
            </c:numLit>
          </c:val>
          <c:extLst>
            <c:ext xmlns:c16="http://schemas.microsoft.com/office/drawing/2014/chart" uri="{C3380CC4-5D6E-409C-BE32-E72D297353CC}">
              <c16:uniqueId val="{00000003-6478-4E6F-B9F1-3EFBCF3791CC}"/>
            </c:ext>
          </c:extLst>
        </c:ser>
        <c:ser>
          <c:idx val="4"/>
          <c:order val="4"/>
          <c:tx>
            <c:v>2025</c:v>
          </c:tx>
          <c:spPr>
            <a:solidFill>
              <a:schemeClr val="accent5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200.12875536480686</c:v>
              </c:pt>
              <c:pt idx="1">
                <c:v>848.82903981264644</c:v>
              </c:pt>
              <c:pt idx="2">
                <c:v>138.04454550152448</c:v>
              </c:pt>
            </c:numLit>
          </c:val>
          <c:extLst>
            <c:ext xmlns:c16="http://schemas.microsoft.com/office/drawing/2014/chart" uri="{C3380CC4-5D6E-409C-BE32-E72D297353CC}">
              <c16:uniqueId val="{00000004-6478-4E6F-B9F1-3EFBCF379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473376"/>
        <c:axId val="1809474336"/>
      </c:barChart>
      <c:catAx>
        <c:axId val="18094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74336"/>
        <c:crosses val="autoZero"/>
        <c:auto val="1"/>
        <c:lblAlgn val="ctr"/>
        <c:lblOffset val="100"/>
        <c:noMultiLvlLbl val="0"/>
      </c:catAx>
      <c:valAx>
        <c:axId val="180947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7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INDEXED</a:t>
            </a:r>
            <a:r>
              <a:rPr lang="en-IN" baseline="0"/>
              <a:t> REVENUE GROWTH (FY21 = 100)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COFORGE</c:v>
          </c:tx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137.94286694689885</c:v>
              </c:pt>
              <c:pt idx="2">
                <c:v>171.88384661576734</c:v>
              </c:pt>
              <c:pt idx="3">
                <c:v>196.85596637213692</c:v>
              </c:pt>
              <c:pt idx="4">
                <c:v>258.4434245517715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C0F-4D2F-8DA2-24E884BC1721}"/>
            </c:ext>
          </c:extLst>
        </c:ser>
        <c:ser>
          <c:idx val="1"/>
          <c:order val="1"/>
          <c:tx>
            <c:v>DSSL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149.9919954259577</c:v>
              </c:pt>
              <c:pt idx="2">
                <c:v>184.5100057175529</c:v>
              </c:pt>
              <c:pt idx="3">
                <c:v>235.30017152658661</c:v>
              </c:pt>
              <c:pt idx="4">
                <c:v>291.35048599199547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C0F-4D2F-8DA2-24E884BC1721}"/>
            </c:ext>
          </c:extLst>
        </c:ser>
        <c:ser>
          <c:idx val="2"/>
          <c:order val="2"/>
          <c:tx>
            <c:v>INFY</c:v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121.06955171590094</c:v>
              </c:pt>
              <c:pt idx="2">
                <c:v>146.07751413329086</c:v>
              </c:pt>
              <c:pt idx="3">
                <c:v>152.94808503861773</c:v>
              </c:pt>
              <c:pt idx="4">
                <c:v>162.22430129787404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6C0F-4D2F-8DA2-24E884BC1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046288"/>
        <c:axId val="1526038608"/>
      </c:lineChart>
      <c:catAx>
        <c:axId val="152604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038608"/>
        <c:crosses val="autoZero"/>
        <c:auto val="1"/>
        <c:lblAlgn val="ctr"/>
        <c:lblOffset val="100"/>
        <c:noMultiLvlLbl val="0"/>
      </c:catAx>
      <c:valAx>
        <c:axId val="152603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04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 On Equity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COFORGE</c:v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22.4</c:v>
              </c:pt>
              <c:pt idx="1">
                <c:v>27.1</c:v>
              </c:pt>
              <c:pt idx="2">
                <c:v>27.4</c:v>
              </c:pt>
              <c:pt idx="3">
                <c:v>24</c:v>
              </c:pt>
              <c:pt idx="4">
                <c:v>17.7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FBA-4438-AB78-41862762090F}"/>
            </c:ext>
          </c:extLst>
        </c:ser>
        <c:ser>
          <c:idx val="1"/>
          <c:order val="1"/>
          <c:tx>
            <c:v>DSSL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19.71</c:v>
              </c:pt>
              <c:pt idx="1">
                <c:v>27.95</c:v>
              </c:pt>
              <c:pt idx="2">
                <c:v>38.729999999999997</c:v>
              </c:pt>
              <c:pt idx="3">
                <c:v>41.02</c:v>
              </c:pt>
              <c:pt idx="4">
                <c:v>37.31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FBA-4438-AB78-41862762090F}"/>
            </c:ext>
          </c:extLst>
        </c:ser>
        <c:ser>
          <c:idx val="2"/>
          <c:order val="2"/>
          <c:tx>
            <c:v>INFY</c:v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27.4</c:v>
              </c:pt>
              <c:pt idx="1">
                <c:v>29.1</c:v>
              </c:pt>
              <c:pt idx="2">
                <c:v>31.2</c:v>
              </c:pt>
              <c:pt idx="3">
                <c:v>32.1</c:v>
              </c:pt>
              <c:pt idx="4">
                <c:v>29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FBA-4438-AB78-418627620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310384"/>
        <c:axId val="1311316144"/>
      </c:lineChart>
      <c:catAx>
        <c:axId val="131131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16144"/>
        <c:crosses val="autoZero"/>
        <c:auto val="1"/>
        <c:lblAlgn val="ctr"/>
        <c:lblOffset val="100"/>
        <c:noMultiLvlLbl val="0"/>
      </c:catAx>
      <c:valAx>
        <c:axId val="13113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1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</a:t>
            </a:r>
            <a:r>
              <a:rPr lang="en-IN" baseline="0"/>
              <a:t> On Capital Employed (%)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2021</c:v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22.4</c:v>
              </c:pt>
              <c:pt idx="1">
                <c:v>21.78</c:v>
              </c:pt>
              <c:pt idx="2">
                <c:v>36.5</c:v>
              </c:pt>
            </c:numLit>
          </c:val>
          <c:extLst>
            <c:ext xmlns:c16="http://schemas.microsoft.com/office/drawing/2014/chart" uri="{C3380CC4-5D6E-409C-BE32-E72D297353CC}">
              <c16:uniqueId val="{00000000-931A-4D10-B7FA-996348922E19}"/>
            </c:ext>
          </c:extLst>
        </c:ser>
        <c:ser>
          <c:idx val="1"/>
          <c:order val="1"/>
          <c:tx>
            <c:v>2022</c:v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27.1</c:v>
              </c:pt>
              <c:pt idx="1">
                <c:v>28.19</c:v>
              </c:pt>
              <c:pt idx="2">
                <c:v>33.200000000000003</c:v>
              </c:pt>
            </c:numLit>
          </c:val>
          <c:extLst>
            <c:ext xmlns:c16="http://schemas.microsoft.com/office/drawing/2014/chart" uri="{C3380CC4-5D6E-409C-BE32-E72D297353CC}">
              <c16:uniqueId val="{00000001-931A-4D10-B7FA-996348922E19}"/>
            </c:ext>
          </c:extLst>
        </c:ser>
        <c:ser>
          <c:idx val="2"/>
          <c:order val="2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27.4</c:v>
              </c:pt>
              <c:pt idx="1">
                <c:v>36.99</c:v>
              </c:pt>
              <c:pt idx="2">
                <c:v>36.200000000000003</c:v>
              </c:pt>
            </c:numLit>
          </c:val>
          <c:extLst>
            <c:ext xmlns:c16="http://schemas.microsoft.com/office/drawing/2014/chart" uri="{C3380CC4-5D6E-409C-BE32-E72D297353CC}">
              <c16:uniqueId val="{00000002-931A-4D10-B7FA-996348922E19}"/>
            </c:ext>
          </c:extLst>
        </c:ser>
        <c:ser>
          <c:idx val="3"/>
          <c:order val="3"/>
          <c:tx>
            <c:v>2024</c:v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24</c:v>
              </c:pt>
              <c:pt idx="1">
                <c:v>38.19</c:v>
              </c:pt>
              <c:pt idx="2">
                <c:v>34.200000000000003</c:v>
              </c:pt>
            </c:numLit>
          </c:val>
          <c:extLst>
            <c:ext xmlns:c16="http://schemas.microsoft.com/office/drawing/2014/chart" uri="{C3380CC4-5D6E-409C-BE32-E72D297353CC}">
              <c16:uniqueId val="{00000003-931A-4D10-B7FA-996348922E19}"/>
            </c:ext>
          </c:extLst>
        </c:ser>
        <c:ser>
          <c:idx val="4"/>
          <c:order val="4"/>
          <c:tx>
            <c:v>2025</c:v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17.7</c:v>
              </c:pt>
              <c:pt idx="1">
                <c:v>38.9</c:v>
              </c:pt>
              <c:pt idx="2">
                <c:v>33.6</c:v>
              </c:pt>
            </c:numLit>
          </c:val>
          <c:extLst>
            <c:ext xmlns:c16="http://schemas.microsoft.com/office/drawing/2014/chart" uri="{C3380CC4-5D6E-409C-BE32-E72D297353CC}">
              <c16:uniqueId val="{00000004-931A-4D10-B7FA-996348922E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5419216"/>
        <c:axId val="1305410096"/>
      </c:barChart>
      <c:catAx>
        <c:axId val="130541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10096"/>
        <c:crosses val="autoZero"/>
        <c:auto val="1"/>
        <c:lblAlgn val="ctr"/>
        <c:lblOffset val="100"/>
        <c:noMultiLvlLbl val="0"/>
      </c:catAx>
      <c:valAx>
        <c:axId val="13054100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0541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Price-to-Earnings</a:t>
            </a:r>
            <a:r>
              <a:rPr lang="en-IN" baseline="0"/>
              <a:t> Ratio (Times)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COFORGE</c:v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7.8</c:v>
              </c:pt>
              <c:pt idx="1">
                <c:v>8.1999999999999993</c:v>
              </c:pt>
              <c:pt idx="2">
                <c:v>6.7</c:v>
              </c:pt>
              <c:pt idx="3">
                <c:v>8.1999999999999993</c:v>
              </c:pt>
              <c:pt idx="4">
                <c:v>12.7</c:v>
              </c:pt>
            </c:numLit>
          </c:val>
          <c:extLst>
            <c:ext xmlns:c16="http://schemas.microsoft.com/office/drawing/2014/chart" uri="{C3380CC4-5D6E-409C-BE32-E72D297353CC}">
              <c16:uniqueId val="{00000000-5BEE-458B-99FE-8EFA4A77EFC9}"/>
            </c:ext>
          </c:extLst>
        </c:ser>
        <c:ser>
          <c:idx val="1"/>
          <c:order val="1"/>
          <c:tx>
            <c:v>DSSL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8</c:v>
              </c:pt>
              <c:pt idx="1">
                <c:v>13.7</c:v>
              </c:pt>
              <c:pt idx="2">
                <c:v>11.3</c:v>
              </c:pt>
              <c:pt idx="3">
                <c:v>24.2</c:v>
              </c:pt>
              <c:pt idx="4">
                <c:v>18.100000000000001</c:v>
              </c:pt>
            </c:numLit>
          </c:val>
          <c:extLst>
            <c:ext xmlns:c16="http://schemas.microsoft.com/office/drawing/2014/chart" uri="{C3380CC4-5D6E-409C-BE32-E72D297353CC}">
              <c16:uniqueId val="{00000001-5BEE-458B-99FE-8EFA4A77EFC9}"/>
            </c:ext>
          </c:extLst>
        </c:ser>
        <c:ser>
          <c:idx val="2"/>
          <c:order val="2"/>
          <c:tx>
            <c:v>INFY</c:v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</c:strLit>
          </c:cat>
          <c:val>
            <c:numLit>
              <c:formatCode>General</c:formatCode>
              <c:ptCount val="5"/>
              <c:pt idx="0">
                <c:v>30</c:v>
              </c:pt>
              <c:pt idx="1">
                <c:v>36.299999999999997</c:v>
              </c:pt>
              <c:pt idx="2">
                <c:v>24.8</c:v>
              </c:pt>
              <c:pt idx="3">
                <c:v>23.6</c:v>
              </c:pt>
              <c:pt idx="4">
                <c:v>24.4</c:v>
              </c:pt>
            </c:numLit>
          </c:val>
          <c:extLst>
            <c:ext xmlns:c16="http://schemas.microsoft.com/office/drawing/2014/chart" uri="{C3380CC4-5D6E-409C-BE32-E72D297353CC}">
              <c16:uniqueId val="{00000002-5BEE-458B-99FE-8EFA4A77EF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2377328"/>
        <c:axId val="1342374448"/>
      </c:barChart>
      <c:catAx>
        <c:axId val="1342377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74448"/>
        <c:crosses val="autoZero"/>
        <c:auto val="1"/>
        <c:lblAlgn val="ctr"/>
        <c:lblOffset val="100"/>
        <c:noMultiLvlLbl val="0"/>
      </c:catAx>
      <c:valAx>
        <c:axId val="13423744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4237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EARNINGS</a:t>
            </a:r>
            <a:r>
              <a:rPr lang="en-IN" baseline="0"/>
              <a:t> PER SHARE (in ₹)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2021</c:v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74.680000000000007</c:v>
              </c:pt>
              <c:pt idx="1">
                <c:v>9.33</c:v>
              </c:pt>
              <c:pt idx="2">
                <c:v>45.61</c:v>
              </c:pt>
            </c:numLit>
          </c:val>
          <c:extLst>
            <c:ext xmlns:c16="http://schemas.microsoft.com/office/drawing/2014/chart" uri="{C3380CC4-5D6E-409C-BE32-E72D297353CC}">
              <c16:uniqueId val="{00000000-DA9B-448B-BC98-E8BA38786139}"/>
            </c:ext>
          </c:extLst>
        </c:ser>
        <c:ser>
          <c:idx val="1"/>
          <c:order val="1"/>
          <c:tx>
            <c:v>2022</c:v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109.02</c:v>
              </c:pt>
              <c:pt idx="1">
                <c:v>15.36</c:v>
              </c:pt>
              <c:pt idx="2">
                <c:v>52.52</c:v>
              </c:pt>
            </c:numLit>
          </c:val>
          <c:extLst>
            <c:ext xmlns:c16="http://schemas.microsoft.com/office/drawing/2014/chart" uri="{C3380CC4-5D6E-409C-BE32-E72D297353CC}">
              <c16:uniqueId val="{00000001-DA9B-448B-BC98-E8BA38786139}"/>
            </c:ext>
          </c:extLst>
        </c:ser>
        <c:ser>
          <c:idx val="2"/>
          <c:order val="2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113.77</c:v>
              </c:pt>
              <c:pt idx="1">
                <c:v>27.78</c:v>
              </c:pt>
              <c:pt idx="2">
                <c:v>57.63</c:v>
              </c:pt>
            </c:numLit>
          </c:val>
          <c:extLst>
            <c:ext xmlns:c16="http://schemas.microsoft.com/office/drawing/2014/chart" uri="{C3380CC4-5D6E-409C-BE32-E72D297353CC}">
              <c16:uniqueId val="{00000002-DA9B-448B-BC98-E8BA38786139}"/>
            </c:ext>
          </c:extLst>
        </c:ser>
        <c:ser>
          <c:idx val="3"/>
          <c:order val="3"/>
          <c:tx>
            <c:v>2024</c:v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133.72999999999999</c:v>
              </c:pt>
              <c:pt idx="1">
                <c:v>42.41</c:v>
              </c:pt>
              <c:pt idx="2">
                <c:v>63.39</c:v>
              </c:pt>
            </c:numLit>
          </c:val>
          <c:extLst>
            <c:ext xmlns:c16="http://schemas.microsoft.com/office/drawing/2014/chart" uri="{C3380CC4-5D6E-409C-BE32-E72D297353CC}">
              <c16:uniqueId val="{00000003-DA9B-448B-BC98-E8BA38786139}"/>
            </c:ext>
          </c:extLst>
        </c:ser>
        <c:ser>
          <c:idx val="4"/>
          <c:order val="4"/>
          <c:tx>
            <c:v>2025</c:v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COFORGE</c:v>
              </c:pt>
              <c:pt idx="1">
                <c:v>DSSL</c:v>
              </c:pt>
              <c:pt idx="2">
                <c:v>INFY</c:v>
              </c:pt>
            </c:strLit>
          </c:cat>
          <c:val>
            <c:numLit>
              <c:formatCode>General</c:formatCode>
              <c:ptCount val="3"/>
              <c:pt idx="0">
                <c:v>127.16</c:v>
              </c:pt>
              <c:pt idx="1">
                <c:v>57.01</c:v>
              </c:pt>
              <c:pt idx="2">
                <c:v>64.5</c:v>
              </c:pt>
            </c:numLit>
          </c:val>
          <c:extLst>
            <c:ext xmlns:c16="http://schemas.microsoft.com/office/drawing/2014/chart" uri="{C3380CC4-5D6E-409C-BE32-E72D297353CC}">
              <c16:uniqueId val="{00000004-DA9B-448B-BC98-E8BA387861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388640"/>
        <c:axId val="1306387200"/>
      </c:barChart>
      <c:catAx>
        <c:axId val="130638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87200"/>
        <c:crosses val="autoZero"/>
        <c:auto val="1"/>
        <c:lblAlgn val="ctr"/>
        <c:lblOffset val="100"/>
        <c:noMultiLvlLbl val="0"/>
      </c:catAx>
      <c:valAx>
        <c:axId val="13063872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0638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460075</xdr:colOff>
      <xdr:row>28</xdr:row>
      <xdr:rowOff>14378</xdr:rowOff>
    </xdr:from>
    <xdr:to>
      <xdr:col>43</xdr:col>
      <xdr:colOff>186905</xdr:colOff>
      <xdr:row>49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4B441-829E-4915-A0B8-6B754F925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488829</xdr:colOff>
      <xdr:row>2</xdr:row>
      <xdr:rowOff>58819</xdr:rowOff>
    </xdr:from>
    <xdr:to>
      <xdr:col>43</xdr:col>
      <xdr:colOff>186905</xdr:colOff>
      <xdr:row>24</xdr:row>
      <xdr:rowOff>158151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5795A3-F632-4EDE-90DB-437A56DE8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431323</xdr:colOff>
      <xdr:row>2</xdr:row>
      <xdr:rowOff>57509</xdr:rowOff>
    </xdr:from>
    <xdr:to>
      <xdr:col>22</xdr:col>
      <xdr:colOff>377921</xdr:colOff>
      <xdr:row>46</xdr:row>
      <xdr:rowOff>100642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F446783-A9F4-4417-ABB9-3EBCAA9D7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373812</xdr:colOff>
      <xdr:row>49</xdr:row>
      <xdr:rowOff>43132</xdr:rowOff>
    </xdr:from>
    <xdr:to>
      <xdr:col>44</xdr:col>
      <xdr:colOff>14378</xdr:colOff>
      <xdr:row>51</xdr:row>
      <xdr:rowOff>172528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8128AE1-46FE-A7E2-E447-5E8209320D09}"/>
            </a:ext>
          </a:extLst>
        </xdr:cNvPr>
        <xdr:cNvSpPr txBox="1"/>
      </xdr:nvSpPr>
      <xdr:spPr>
        <a:xfrm>
          <a:off x="14262340" y="9201509"/>
          <a:ext cx="12321396" cy="5032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i="1"/>
            <a:t>Shows</a:t>
          </a:r>
          <a:r>
            <a:rPr lang="en-IN" sz="1400" i="1" baseline="0"/>
            <a:t> absolute revenue scale across large, mid and small-cap IT companies.</a:t>
          </a:r>
          <a:endParaRPr lang="en-IN" sz="1400" i="1"/>
        </a:p>
      </xdr:txBody>
    </xdr:sp>
    <xdr:clientData/>
  </xdr:twoCellAnchor>
  <xdr:twoCellAnchor>
    <xdr:from>
      <xdr:col>30</xdr:col>
      <xdr:colOff>100641</xdr:colOff>
      <xdr:row>25</xdr:row>
      <xdr:rowOff>100641</xdr:rowOff>
    </xdr:from>
    <xdr:to>
      <xdr:col>50</xdr:col>
      <xdr:colOff>359434</xdr:colOff>
      <xdr:row>27</xdr:row>
      <xdr:rowOff>57509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2D64FD0-F7B6-3F2F-B3EE-C0A0D51933BB}"/>
            </a:ext>
          </a:extLst>
        </xdr:cNvPr>
        <xdr:cNvSpPr txBox="1"/>
      </xdr:nvSpPr>
      <xdr:spPr>
        <a:xfrm>
          <a:off x="18216113" y="4773283"/>
          <a:ext cx="12335774" cy="3306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400" i="1"/>
        </a:p>
      </xdr:txBody>
    </xdr:sp>
    <xdr:clientData/>
  </xdr:twoCellAnchor>
  <xdr:twoCellAnchor>
    <xdr:from>
      <xdr:col>1</xdr:col>
      <xdr:colOff>345057</xdr:colOff>
      <xdr:row>47</xdr:row>
      <xdr:rowOff>28755</xdr:rowOff>
    </xdr:from>
    <xdr:to>
      <xdr:col>21</xdr:col>
      <xdr:colOff>201284</xdr:colOff>
      <xdr:row>51</xdr:row>
      <xdr:rowOff>14377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E251FC7-2B87-53FB-0BFD-946A64BC3DFF}"/>
            </a:ext>
          </a:extLst>
        </xdr:cNvPr>
        <xdr:cNvSpPr txBox="1"/>
      </xdr:nvSpPr>
      <xdr:spPr>
        <a:xfrm>
          <a:off x="948906" y="8813321"/>
          <a:ext cx="11933208" cy="7332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Dispalys</a:t>
          </a:r>
          <a:r>
            <a:rPr lang="en-IN" sz="14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absolute profit generation highlighting size-based differences.</a:t>
          </a:r>
          <a:endParaRPr lang="en-IN" sz="1400" i="1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23</xdr:col>
      <xdr:colOff>503208</xdr:colOff>
      <xdr:row>24</xdr:row>
      <xdr:rowOff>172528</xdr:rowOff>
    </xdr:from>
    <xdr:to>
      <xdr:col>42</xdr:col>
      <xdr:colOff>287548</xdr:colOff>
      <xdr:row>27</xdr:row>
      <xdr:rowOff>86264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CA8996B-7F34-00CE-9C9C-2628CEBB74E5}"/>
            </a:ext>
          </a:extLst>
        </xdr:cNvPr>
        <xdr:cNvSpPr txBox="1"/>
      </xdr:nvSpPr>
      <xdr:spPr>
        <a:xfrm>
          <a:off x="14391736" y="4658264"/>
          <a:ext cx="11257472" cy="474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i="1"/>
            <a:t>Reflects core business</a:t>
          </a:r>
          <a:r>
            <a:rPr lang="en-IN" sz="1400" i="1" baseline="0"/>
            <a:t> profitability before finance costs and taxes.</a:t>
          </a:r>
          <a:endParaRPr lang="en-IN" sz="1400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53340</xdr:rowOff>
    </xdr:from>
    <xdr:to>
      <xdr:col>11</xdr:col>
      <xdr:colOff>594359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B4A55F-E1CC-4E8D-95F0-E402313A8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160020</xdr:colOff>
      <xdr:row>1</xdr:row>
      <xdr:rowOff>45720</xdr:rowOff>
    </xdr:from>
    <xdr:to>
      <xdr:col>23</xdr:col>
      <xdr:colOff>184319</xdr:colOff>
      <xdr:row>22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A8BEDA-423B-4AAE-BB5F-542A68BC9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358140</xdr:colOff>
      <xdr:row>22</xdr:row>
      <xdr:rowOff>175260</xdr:rowOff>
    </xdr:from>
    <xdr:to>
      <xdr:col>11</xdr:col>
      <xdr:colOff>99060</xdr:colOff>
      <xdr:row>26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5CDFDC-D0EC-70CC-AC95-543FF62500E7}"/>
            </a:ext>
          </a:extLst>
        </xdr:cNvPr>
        <xdr:cNvSpPr txBox="1"/>
      </xdr:nvSpPr>
      <xdr:spPr>
        <a:xfrm>
          <a:off x="358140" y="4198620"/>
          <a:ext cx="6446520" cy="571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i="1"/>
            <a:t>Normalized to FY21 = 100 to highlight growth</a:t>
          </a:r>
          <a:r>
            <a:rPr lang="en-IN" sz="1000" i="1" baseline="0"/>
            <a:t> intensity rather than absolute profitability.</a:t>
          </a:r>
          <a:endParaRPr lang="en-IN" sz="1000" i="1"/>
        </a:p>
      </xdr:txBody>
    </xdr:sp>
    <xdr:clientData/>
  </xdr:twoCellAnchor>
  <xdr:twoCellAnchor>
    <xdr:from>
      <xdr:col>12</xdr:col>
      <xdr:colOff>175260</xdr:colOff>
      <xdr:row>22</xdr:row>
      <xdr:rowOff>160020</xdr:rowOff>
    </xdr:from>
    <xdr:to>
      <xdr:col>22</xdr:col>
      <xdr:colOff>22860</xdr:colOff>
      <xdr:row>26</xdr:row>
      <xdr:rowOff>129540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CC57A5-05D8-D973-2479-FE3D2E62CD74}"/>
            </a:ext>
          </a:extLst>
        </xdr:cNvPr>
        <xdr:cNvSpPr txBox="1"/>
      </xdr:nvSpPr>
      <xdr:spPr>
        <a:xfrm>
          <a:off x="7490460" y="4183380"/>
          <a:ext cx="5943600" cy="701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 indexed to FY21 = 100 to compare relative growth rates independent</a:t>
          </a:r>
          <a:r>
            <a:rPr lang="en-IN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company size.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205682</xdr:colOff>
      <xdr:row>18</xdr:row>
      <xdr:rowOff>1</xdr:rowOff>
    </xdr:from>
    <xdr:to>
      <xdr:col>29</xdr:col>
      <xdr:colOff>443696</xdr:colOff>
      <xdr:row>34</xdr:row>
      <xdr:rowOff>29154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C245E4-6CC5-487D-8437-96BFC49D0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212897</xdr:colOff>
      <xdr:row>0</xdr:row>
      <xdr:rowOff>112388</xdr:rowOff>
    </xdr:from>
    <xdr:to>
      <xdr:col>29</xdr:col>
      <xdr:colOff>482278</xdr:colOff>
      <xdr:row>17</xdr:row>
      <xdr:rowOff>28937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7C838C-457B-495E-81CD-C3B8F2BF3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86453</xdr:colOff>
      <xdr:row>0</xdr:row>
      <xdr:rowOff>132657</xdr:rowOff>
    </xdr:from>
    <xdr:to>
      <xdr:col>16</xdr:col>
      <xdr:colOff>405115</xdr:colOff>
      <xdr:row>17</xdr:row>
      <xdr:rowOff>19292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FE0E8A-770F-4706-A381-5ECAF85FE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86810</xdr:colOff>
      <xdr:row>17</xdr:row>
      <xdr:rowOff>154328</xdr:rowOff>
    </xdr:from>
    <xdr:to>
      <xdr:col>16</xdr:col>
      <xdr:colOff>414759</xdr:colOff>
      <xdr:row>32</xdr:row>
      <xdr:rowOff>57875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042BA7-2ACE-48C9-8A80-3ADB7E700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106101</xdr:colOff>
      <xdr:row>32</xdr:row>
      <xdr:rowOff>106102</xdr:rowOff>
    </xdr:from>
    <xdr:to>
      <xdr:col>16</xdr:col>
      <xdr:colOff>443696</xdr:colOff>
      <xdr:row>33</xdr:row>
      <xdr:rowOff>144684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766ED7A-0DCF-4FAA-3B8F-B295ED4BF18A}"/>
            </a:ext>
          </a:extLst>
        </xdr:cNvPr>
        <xdr:cNvSpPr txBox="1"/>
      </xdr:nvSpPr>
      <xdr:spPr>
        <a:xfrm>
          <a:off x="1321443" y="5970608"/>
          <a:ext cx="8844987" cy="2218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i="1"/>
            <a:t>Indicates profit attributable</a:t>
          </a:r>
          <a:r>
            <a:rPr lang="en-IN" sz="1400" i="1" baseline="0"/>
            <a:t> to each equity share, reflecting shareholder returns</a:t>
          </a:r>
          <a:endParaRPr lang="en-IN" sz="1400" i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DF1BE-D404-4619-A83C-147FE1CB423A}" name="Table1" displayName="Table1" ref="B1:J4" totalsRowShown="0" headerRowDxfId="0">
  <autoFilter ref="B1:J4" xr:uid="{215DF1BE-D404-4619-A83C-147FE1CB423A}"/>
  <tableColumns count="9">
    <tableColumn id="1" xr3:uid="{A2E6420B-742E-4E2A-870A-8ED26ABB23FC}" name="Company Name"/>
    <tableColumn id="2" xr3:uid="{A4CB4763-27D8-4B79-8290-B1C7C7154C4D}" name="Company Code"/>
    <tableColumn id="3" xr3:uid="{73BD5705-42F9-4C1B-A98C-4AC851147120}" name="Cap Category"/>
    <tableColumn id="4" xr3:uid="{C5B4F2C1-DD75-45D7-9F4F-B565E7943AAE}" name="Sector"/>
    <tableColumn id="5" xr3:uid="{1241B49D-DF11-476D-84FF-656156385DFB}" name="Business Focus"/>
    <tableColumn id="6" xr3:uid="{2FDE1780-89AE-4D9C-A728-B0CED624F86E}" name="NSE Symbol"/>
    <tableColumn id="7" xr3:uid="{F5CA3B0D-61CE-4BAC-914A-B9DF0F375E84}" name="BSE Code"/>
    <tableColumn id="8" xr3:uid="{F60F0D2A-6AEC-44BF-B4CC-65753E20EBAB}" name="Listing"/>
    <tableColumn id="9" xr3:uid="{92233664-115E-4F5E-9E82-8D050BD1648F}" name="Financials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034E-D4D7-46DE-BB68-CD22B18234C9}">
  <dimension ref="B1:J4"/>
  <sheetViews>
    <sheetView workbookViewId="0">
      <selection activeCell="F15" sqref="F15"/>
    </sheetView>
  </sheetViews>
  <sheetFormatPr defaultRowHeight="14.4" x14ac:dyDescent="0.3"/>
  <cols>
    <col min="1" max="1" width="9.6640625" customWidth="1"/>
    <col min="2" max="2" width="17.77734375" customWidth="1"/>
    <col min="3" max="3" width="17" customWidth="1"/>
    <col min="4" max="4" width="15.21875" customWidth="1"/>
    <col min="5" max="5" width="14.77734375" customWidth="1"/>
    <col min="6" max="6" width="19.6640625" customWidth="1"/>
    <col min="7" max="7" width="14.77734375" customWidth="1"/>
    <col min="8" max="8" width="11.5546875" customWidth="1"/>
    <col min="9" max="9" width="9.77734375" customWidth="1"/>
    <col min="10" max="10" width="17.21875" customWidth="1"/>
  </cols>
  <sheetData>
    <row r="1" spans="2:10" ht="15.6" x14ac:dyDescent="0.3">
      <c r="B1" s="1" t="s">
        <v>0</v>
      </c>
      <c r="C1" s="1" t="s">
        <v>1</v>
      </c>
      <c r="D1" s="1" t="s">
        <v>3</v>
      </c>
      <c r="E1" s="1" t="s">
        <v>2</v>
      </c>
      <c r="F1" s="1" t="s">
        <v>15</v>
      </c>
      <c r="G1" s="1" t="s">
        <v>19</v>
      </c>
      <c r="H1" s="1" t="s">
        <v>20</v>
      </c>
      <c r="I1" s="1" t="s">
        <v>7</v>
      </c>
      <c r="J1" s="1" t="s">
        <v>21</v>
      </c>
    </row>
    <row r="2" spans="2:10" x14ac:dyDescent="0.3">
      <c r="B2" t="s">
        <v>5</v>
      </c>
      <c r="C2" t="s">
        <v>11</v>
      </c>
      <c r="D2" t="s">
        <v>4</v>
      </c>
      <c r="E2" t="s">
        <v>6</v>
      </c>
      <c r="F2" t="s">
        <v>16</v>
      </c>
      <c r="G2" t="s">
        <v>11</v>
      </c>
      <c r="H2">
        <v>500209</v>
      </c>
      <c r="I2" t="s">
        <v>23</v>
      </c>
      <c r="J2" t="s">
        <v>22</v>
      </c>
    </row>
    <row r="3" spans="2:10" x14ac:dyDescent="0.3">
      <c r="B3" t="s">
        <v>13</v>
      </c>
      <c r="C3" t="s">
        <v>12</v>
      </c>
      <c r="D3" t="s">
        <v>8</v>
      </c>
      <c r="E3" t="s">
        <v>6</v>
      </c>
      <c r="F3" t="s">
        <v>17</v>
      </c>
      <c r="G3" t="s">
        <v>12</v>
      </c>
      <c r="H3">
        <v>532927</v>
      </c>
      <c r="I3" t="s">
        <v>23</v>
      </c>
      <c r="J3" t="s">
        <v>22</v>
      </c>
    </row>
    <row r="4" spans="2:10" ht="43.2" x14ac:dyDescent="0.3">
      <c r="B4" s="2" t="s">
        <v>10</v>
      </c>
      <c r="C4" t="s">
        <v>14</v>
      </c>
      <c r="D4" t="s">
        <v>9</v>
      </c>
      <c r="E4" t="s">
        <v>6</v>
      </c>
      <c r="F4" t="s">
        <v>18</v>
      </c>
      <c r="G4" t="s">
        <v>14</v>
      </c>
      <c r="H4">
        <v>532365</v>
      </c>
      <c r="I4" t="s">
        <v>23</v>
      </c>
      <c r="J4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3916-302C-42EC-BC7E-404F5BE7FECA}">
  <dimension ref="A1:G16"/>
  <sheetViews>
    <sheetView zoomScale="77" workbookViewId="0">
      <selection sqref="A1:D16"/>
    </sheetView>
  </sheetViews>
  <sheetFormatPr defaultRowHeight="14.4" x14ac:dyDescent="0.3"/>
  <cols>
    <col min="1" max="1" width="17.33203125" customWidth="1"/>
    <col min="2" max="2" width="9.77734375" customWidth="1"/>
    <col min="3" max="3" width="13" customWidth="1"/>
    <col min="4" max="4" width="12.77734375" customWidth="1"/>
    <col min="5" max="6" width="17.88671875" customWidth="1"/>
    <col min="7" max="7" width="10.88671875" customWidth="1"/>
  </cols>
  <sheetData>
    <row r="1" spans="1:7" ht="43.2" customHeight="1" x14ac:dyDescent="0.3">
      <c r="A1" s="3" t="s">
        <v>1</v>
      </c>
      <c r="B1" s="3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3">
      <c r="A2" t="s">
        <v>11</v>
      </c>
      <c r="B2">
        <v>2025</v>
      </c>
      <c r="C2" s="5">
        <v>162990</v>
      </c>
      <c r="D2" s="5">
        <v>26713</v>
      </c>
      <c r="E2" s="5">
        <v>128566</v>
      </c>
      <c r="F2" s="5">
        <f>$C2-$E2</f>
        <v>34424</v>
      </c>
      <c r="G2" s="6">
        <v>64.5</v>
      </c>
    </row>
    <row r="3" spans="1:7" x14ac:dyDescent="0.3">
      <c r="A3" t="s">
        <v>11</v>
      </c>
      <c r="B3">
        <v>2024</v>
      </c>
      <c r="C3" s="5">
        <v>153670</v>
      </c>
      <c r="D3" s="5">
        <v>26233</v>
      </c>
      <c r="E3" s="5">
        <v>121923</v>
      </c>
      <c r="F3" s="5">
        <f t="shared" ref="F3:F16" si="0">$C3-$E3</f>
        <v>31747</v>
      </c>
      <c r="G3">
        <v>63.39</v>
      </c>
    </row>
    <row r="4" spans="1:7" x14ac:dyDescent="0.3">
      <c r="A4" t="s">
        <v>11</v>
      </c>
      <c r="B4">
        <v>2023</v>
      </c>
      <c r="C4" s="5">
        <v>146767</v>
      </c>
      <c r="D4" s="5">
        <v>24095</v>
      </c>
      <c r="E4" s="5">
        <v>115862</v>
      </c>
      <c r="F4" s="5">
        <f t="shared" si="0"/>
        <v>30905</v>
      </c>
      <c r="G4">
        <v>57.63</v>
      </c>
    </row>
    <row r="5" spans="1:7" x14ac:dyDescent="0.3">
      <c r="A5" t="s">
        <v>11</v>
      </c>
      <c r="B5">
        <v>2022</v>
      </c>
      <c r="C5" s="5">
        <v>121641</v>
      </c>
      <c r="D5" s="5">
        <v>22110</v>
      </c>
      <c r="E5" s="5">
        <v>93626</v>
      </c>
      <c r="F5" s="5">
        <f t="shared" si="0"/>
        <v>28015</v>
      </c>
      <c r="G5">
        <v>52.52</v>
      </c>
    </row>
    <row r="6" spans="1:7" x14ac:dyDescent="0.3">
      <c r="A6" t="s">
        <v>11</v>
      </c>
      <c r="B6">
        <v>2021</v>
      </c>
      <c r="C6" s="5">
        <v>100472</v>
      </c>
      <c r="D6" s="5">
        <v>19351</v>
      </c>
      <c r="E6" s="5">
        <v>75850</v>
      </c>
      <c r="F6" s="5">
        <f t="shared" si="0"/>
        <v>24622</v>
      </c>
      <c r="G6">
        <v>45.61</v>
      </c>
    </row>
    <row r="7" spans="1:7" x14ac:dyDescent="0.3">
      <c r="A7" t="s">
        <v>12</v>
      </c>
      <c r="B7">
        <v>2025</v>
      </c>
      <c r="C7" s="5">
        <v>12050.7</v>
      </c>
      <c r="D7" s="5">
        <v>932.6</v>
      </c>
      <c r="E7" s="5">
        <v>10784.6</v>
      </c>
      <c r="F7" s="5">
        <f t="shared" si="0"/>
        <v>1266.1000000000004</v>
      </c>
      <c r="G7" s="5">
        <v>127.16</v>
      </c>
    </row>
    <row r="8" spans="1:7" x14ac:dyDescent="0.3">
      <c r="A8" t="s">
        <v>12</v>
      </c>
      <c r="B8">
        <v>2024</v>
      </c>
      <c r="C8" s="5">
        <v>9179</v>
      </c>
      <c r="D8" s="5">
        <v>835.6</v>
      </c>
      <c r="E8" s="5">
        <v>8069.9</v>
      </c>
      <c r="F8" s="5">
        <f t="shared" si="0"/>
        <v>1109.1000000000004</v>
      </c>
      <c r="G8">
        <v>133.72999999999999</v>
      </c>
    </row>
    <row r="9" spans="1:7" x14ac:dyDescent="0.3">
      <c r="A9" t="s">
        <v>12</v>
      </c>
      <c r="B9">
        <v>2023</v>
      </c>
      <c r="C9" s="5">
        <v>8014.6</v>
      </c>
      <c r="D9" s="5">
        <v>745.1</v>
      </c>
      <c r="E9" s="5">
        <v>6956.4</v>
      </c>
      <c r="F9" s="5">
        <f t="shared" si="0"/>
        <v>1058.2000000000007</v>
      </c>
      <c r="G9">
        <v>113.77</v>
      </c>
    </row>
    <row r="10" spans="1:7" x14ac:dyDescent="0.3">
      <c r="A10" t="s">
        <v>12</v>
      </c>
      <c r="B10">
        <v>2022</v>
      </c>
      <c r="C10" s="6">
        <v>6432</v>
      </c>
      <c r="D10" s="7">
        <v>714.7</v>
      </c>
      <c r="E10" s="7">
        <v>5557.3</v>
      </c>
      <c r="F10" s="5">
        <f t="shared" si="0"/>
        <v>874.69999999999982</v>
      </c>
      <c r="G10">
        <v>109.02</v>
      </c>
    </row>
    <row r="11" spans="1:7" x14ac:dyDescent="0.3">
      <c r="A11" t="s">
        <v>12</v>
      </c>
      <c r="B11">
        <v>2021</v>
      </c>
      <c r="C11" s="6">
        <v>4662.8</v>
      </c>
      <c r="D11" s="6">
        <v>466</v>
      </c>
      <c r="E11" s="7">
        <v>4066.9</v>
      </c>
      <c r="F11" s="5">
        <f t="shared" si="0"/>
        <v>595.90000000000009</v>
      </c>
      <c r="G11">
        <v>74.680000000000007</v>
      </c>
    </row>
    <row r="12" spans="1:7" x14ac:dyDescent="0.3">
      <c r="A12" t="s">
        <v>14</v>
      </c>
      <c r="B12">
        <v>2025</v>
      </c>
      <c r="C12">
        <v>1273.93</v>
      </c>
      <c r="D12">
        <v>72.489999999999995</v>
      </c>
      <c r="E12">
        <v>1163.57</v>
      </c>
      <c r="F12" s="5">
        <f t="shared" si="0"/>
        <v>110.36000000000013</v>
      </c>
      <c r="G12">
        <v>57.01</v>
      </c>
    </row>
    <row r="13" spans="1:7" x14ac:dyDescent="0.3">
      <c r="A13" t="s">
        <v>14</v>
      </c>
      <c r="B13">
        <v>2024</v>
      </c>
      <c r="C13">
        <v>1028.8499999999999</v>
      </c>
      <c r="D13">
        <v>53.81</v>
      </c>
      <c r="E13">
        <v>947.99</v>
      </c>
      <c r="F13" s="5">
        <f t="shared" si="0"/>
        <v>80.8599999999999</v>
      </c>
      <c r="G13">
        <v>42.41</v>
      </c>
    </row>
    <row r="14" spans="1:7" x14ac:dyDescent="0.3">
      <c r="A14" t="s">
        <v>14</v>
      </c>
      <c r="B14">
        <v>2023</v>
      </c>
      <c r="C14">
        <v>806.77</v>
      </c>
      <c r="D14">
        <v>33.450000000000003</v>
      </c>
      <c r="E14">
        <v>751.21</v>
      </c>
      <c r="F14" s="5">
        <f t="shared" si="0"/>
        <v>55.559999999999945</v>
      </c>
      <c r="G14">
        <v>27.78</v>
      </c>
    </row>
    <row r="15" spans="1:7" x14ac:dyDescent="0.3">
      <c r="A15" t="s">
        <v>14</v>
      </c>
      <c r="B15">
        <v>2022</v>
      </c>
      <c r="C15">
        <v>655.84</v>
      </c>
      <c r="D15">
        <v>16.43</v>
      </c>
      <c r="E15">
        <v>624.89</v>
      </c>
      <c r="F15" s="5">
        <f t="shared" si="0"/>
        <v>30.950000000000045</v>
      </c>
      <c r="G15">
        <v>15.36</v>
      </c>
    </row>
    <row r="16" spans="1:7" x14ac:dyDescent="0.3">
      <c r="A16" t="s">
        <v>14</v>
      </c>
      <c r="B16">
        <v>2021</v>
      </c>
      <c r="C16">
        <v>437.25</v>
      </c>
      <c r="D16">
        <v>8.5399999999999991</v>
      </c>
      <c r="E16">
        <v>418.74</v>
      </c>
      <c r="F16" s="5">
        <f t="shared" si="0"/>
        <v>18.509999999999991</v>
      </c>
      <c r="G16">
        <v>9.33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FFDE-5241-4531-B91D-C2EF393B94D2}">
  <dimension ref="A1:G16"/>
  <sheetViews>
    <sheetView workbookViewId="0">
      <selection activeCell="I14" sqref="I14"/>
    </sheetView>
  </sheetViews>
  <sheetFormatPr defaultRowHeight="14.4" x14ac:dyDescent="0.3"/>
  <cols>
    <col min="3" max="3" width="11.77734375" customWidth="1"/>
    <col min="4" max="4" width="11.6640625" customWidth="1"/>
    <col min="5" max="6" width="11.77734375" customWidth="1"/>
    <col min="7" max="7" width="10.77734375" customWidth="1"/>
  </cols>
  <sheetData>
    <row r="1" spans="1:7" ht="57.6" x14ac:dyDescent="0.3">
      <c r="A1" s="3" t="s">
        <v>1</v>
      </c>
      <c r="B1" s="3" t="s">
        <v>24</v>
      </c>
      <c r="C1" s="4" t="s">
        <v>34</v>
      </c>
      <c r="D1" s="4" t="s">
        <v>32</v>
      </c>
      <c r="E1" s="4" t="s">
        <v>30</v>
      </c>
      <c r="F1" s="4" t="s">
        <v>31</v>
      </c>
      <c r="G1" s="4" t="s">
        <v>33</v>
      </c>
    </row>
    <row r="2" spans="1:7" x14ac:dyDescent="0.3">
      <c r="A2" t="s">
        <v>11</v>
      </c>
      <c r="B2">
        <v>2025</v>
      </c>
      <c r="C2" s="8">
        <f>Finance_Indicators!F2/Finance_Indicators!C2*100</f>
        <v>21.12031412970121</v>
      </c>
      <c r="D2" s="8">
        <f>Finance_Indicators!D2/Finance_Indicators!C2*100</f>
        <v>16.389349039818395</v>
      </c>
      <c r="E2" s="8">
        <v>29</v>
      </c>
      <c r="F2" s="8">
        <v>33.6</v>
      </c>
      <c r="G2" s="9">
        <v>24.4</v>
      </c>
    </row>
    <row r="3" spans="1:7" x14ac:dyDescent="0.3">
      <c r="A3" t="s">
        <v>11</v>
      </c>
      <c r="B3">
        <v>2024</v>
      </c>
      <c r="C3" s="8">
        <f>Finance_Indicators!F3/Finance_Indicators!C3*100</f>
        <v>20.659204789483958</v>
      </c>
      <c r="D3" s="8">
        <f>Finance_Indicators!D3/Finance_Indicators!C3*100</f>
        <v>17.070996290752912</v>
      </c>
      <c r="E3" s="8">
        <v>32.1</v>
      </c>
      <c r="F3" s="8">
        <v>34.200000000000003</v>
      </c>
      <c r="G3" s="9">
        <v>23.6</v>
      </c>
    </row>
    <row r="4" spans="1:7" x14ac:dyDescent="0.3">
      <c r="A4" t="s">
        <v>11</v>
      </c>
      <c r="B4">
        <v>2023</v>
      </c>
      <c r="C4" s="8">
        <f>Finance_Indicators!F4/Finance_Indicators!C4*100</f>
        <v>21.057185879659595</v>
      </c>
      <c r="D4" s="8">
        <f>Finance_Indicators!D4/Finance_Indicators!C4*100</f>
        <v>16.417178248516358</v>
      </c>
      <c r="E4" s="8">
        <v>31.2</v>
      </c>
      <c r="F4" s="8">
        <v>36.200000000000003</v>
      </c>
      <c r="G4" s="9">
        <v>24.8</v>
      </c>
    </row>
    <row r="5" spans="1:7" x14ac:dyDescent="0.3">
      <c r="A5" t="s">
        <v>11</v>
      </c>
      <c r="B5">
        <v>2022</v>
      </c>
      <c r="C5" s="8">
        <f>Finance_Indicators!F5/Finance_Indicators!C5*100</f>
        <v>23.0308859677247</v>
      </c>
      <c r="D5" s="8">
        <f>Finance_Indicators!D5/Finance_Indicators!C5*100</f>
        <v>18.176437221002786</v>
      </c>
      <c r="E5" s="8">
        <v>29.1</v>
      </c>
      <c r="F5" s="8">
        <v>33.200000000000003</v>
      </c>
      <c r="G5" s="9">
        <v>36.299999999999997</v>
      </c>
    </row>
    <row r="6" spans="1:7" x14ac:dyDescent="0.3">
      <c r="A6" t="s">
        <v>11</v>
      </c>
      <c r="B6">
        <v>2021</v>
      </c>
      <c r="C6" s="8">
        <f>Finance_Indicators!F6/Finance_Indicators!C6*100</f>
        <v>24.506330121824988</v>
      </c>
      <c r="D6" s="8">
        <f>Finance_Indicators!D6/Finance_Indicators!C6*100</f>
        <v>19.260092364041721</v>
      </c>
      <c r="E6" s="8">
        <v>27.4</v>
      </c>
      <c r="F6" s="8">
        <v>36.5</v>
      </c>
      <c r="G6" s="9">
        <v>30</v>
      </c>
    </row>
    <row r="7" spans="1:7" x14ac:dyDescent="0.3">
      <c r="A7" t="s">
        <v>12</v>
      </c>
      <c r="B7">
        <v>2025</v>
      </c>
      <c r="C7" s="8">
        <f>Finance_Indicators!F7/Finance_Indicators!C7*100</f>
        <v>10.506443609084952</v>
      </c>
      <c r="D7" s="8">
        <f>Finance_Indicators!D7/Finance_Indicators!C7*100</f>
        <v>7.7389695204427955</v>
      </c>
      <c r="E7" s="8">
        <v>17.7</v>
      </c>
      <c r="F7" s="8">
        <v>17.7</v>
      </c>
      <c r="G7" s="8">
        <v>12.7</v>
      </c>
    </row>
    <row r="8" spans="1:7" x14ac:dyDescent="0.3">
      <c r="A8" t="s">
        <v>12</v>
      </c>
      <c r="B8">
        <v>2024</v>
      </c>
      <c r="C8" s="8">
        <f>Finance_Indicators!F8/Finance_Indicators!C8*100</f>
        <v>12.083015579039115</v>
      </c>
      <c r="D8" s="8">
        <f>Finance_Indicators!D8/Finance_Indicators!C8*100</f>
        <v>9.1033881686458216</v>
      </c>
      <c r="E8" s="8">
        <v>24</v>
      </c>
      <c r="F8" s="8">
        <v>24</v>
      </c>
      <c r="G8" s="9">
        <v>8.1999999999999993</v>
      </c>
    </row>
    <row r="9" spans="1:7" x14ac:dyDescent="0.3">
      <c r="A9" t="s">
        <v>12</v>
      </c>
      <c r="B9">
        <v>2023</v>
      </c>
      <c r="C9" s="8">
        <f>Finance_Indicators!F9/Finance_Indicators!C9*100</f>
        <v>13.203403788086751</v>
      </c>
      <c r="D9" s="8">
        <f>Finance_Indicators!D9/Finance_Indicators!C9*100</f>
        <v>9.2967833703491127</v>
      </c>
      <c r="E9" s="8">
        <v>27.4</v>
      </c>
      <c r="F9" s="8">
        <v>27.4</v>
      </c>
      <c r="G9" s="9">
        <v>6.7</v>
      </c>
    </row>
    <row r="10" spans="1:7" x14ac:dyDescent="0.3">
      <c r="A10" t="s">
        <v>12</v>
      </c>
      <c r="B10">
        <v>2022</v>
      </c>
      <c r="C10" s="8">
        <f>Finance_Indicators!F10/Finance_Indicators!C10*100</f>
        <v>13.599191542288555</v>
      </c>
      <c r="D10" s="8">
        <f>Finance_Indicators!D10/Finance_Indicators!C10*100</f>
        <v>11.111629353233832</v>
      </c>
      <c r="E10" s="9">
        <v>27.1</v>
      </c>
      <c r="F10" s="8">
        <v>27.1</v>
      </c>
      <c r="G10" s="9">
        <v>8.1999999999999993</v>
      </c>
    </row>
    <row r="11" spans="1:7" x14ac:dyDescent="0.3">
      <c r="A11" t="s">
        <v>12</v>
      </c>
      <c r="B11">
        <v>2021</v>
      </c>
      <c r="C11" s="8">
        <f>Finance_Indicators!F11/Finance_Indicators!C11*100</f>
        <v>12.779874753367077</v>
      </c>
      <c r="D11" s="8">
        <f>Finance_Indicators!D11/Finance_Indicators!C11*100</f>
        <v>9.9939950244488287</v>
      </c>
      <c r="E11" s="9">
        <v>22.4</v>
      </c>
      <c r="F11" s="8">
        <v>22.4</v>
      </c>
      <c r="G11" s="9">
        <v>7.8</v>
      </c>
    </row>
    <row r="12" spans="1:7" x14ac:dyDescent="0.3">
      <c r="A12" t="s">
        <v>14</v>
      </c>
      <c r="B12">
        <v>2025</v>
      </c>
      <c r="C12" s="8">
        <f>Finance_Indicators!F12/Finance_Indicators!C12*100</f>
        <v>8.6629563633794735</v>
      </c>
      <c r="D12" s="8">
        <f>Finance_Indicators!D12/Finance_Indicators!C12*100</f>
        <v>5.690265556192255</v>
      </c>
      <c r="E12" s="9">
        <v>37.31</v>
      </c>
      <c r="F12" s="8">
        <v>38.9</v>
      </c>
      <c r="G12" s="9">
        <v>18.100000000000001</v>
      </c>
    </row>
    <row r="13" spans="1:7" x14ac:dyDescent="0.3">
      <c r="A13" t="s">
        <v>14</v>
      </c>
      <c r="B13">
        <v>2024</v>
      </c>
      <c r="C13" s="8">
        <f>Finance_Indicators!F13/Finance_Indicators!C13*100</f>
        <v>7.8592603392136766</v>
      </c>
      <c r="D13" s="8">
        <f>Finance_Indicators!D13/Finance_Indicators!C13*100</f>
        <v>5.2301112893035917</v>
      </c>
      <c r="E13" s="9">
        <v>41.02</v>
      </c>
      <c r="F13" s="8">
        <v>38.19</v>
      </c>
      <c r="G13" s="9">
        <v>24.2</v>
      </c>
    </row>
    <row r="14" spans="1:7" x14ac:dyDescent="0.3">
      <c r="A14" t="s">
        <v>14</v>
      </c>
      <c r="B14">
        <v>2023</v>
      </c>
      <c r="C14" s="8">
        <f>Finance_Indicators!F14/Finance_Indicators!C14*100</f>
        <v>6.8867211225008305</v>
      </c>
      <c r="D14" s="8">
        <f>Finance_Indicators!D14/Finance_Indicators!C14*100</f>
        <v>4.1461630948101691</v>
      </c>
      <c r="E14" s="9">
        <v>38.729999999999997</v>
      </c>
      <c r="F14" s="8">
        <v>36.99</v>
      </c>
      <c r="G14" s="9">
        <v>11.3</v>
      </c>
    </row>
    <row r="15" spans="1:7" x14ac:dyDescent="0.3">
      <c r="A15" t="s">
        <v>14</v>
      </c>
      <c r="B15">
        <v>2022</v>
      </c>
      <c r="C15" s="8">
        <f>Finance_Indicators!F15/Finance_Indicators!C15*100</f>
        <v>4.7191388143449693</v>
      </c>
      <c r="D15" s="8">
        <f>Finance_Indicators!D15/Finance_Indicators!C15*100</f>
        <v>2.5051841912661623</v>
      </c>
      <c r="E15" s="9">
        <v>27.95</v>
      </c>
      <c r="F15" s="8">
        <v>28.19</v>
      </c>
      <c r="G15" s="9">
        <v>13.7</v>
      </c>
    </row>
    <row r="16" spans="1:7" x14ac:dyDescent="0.3">
      <c r="A16" t="s">
        <v>14</v>
      </c>
      <c r="B16">
        <v>2021</v>
      </c>
      <c r="C16" s="8">
        <f>Finance_Indicators!F16/Finance_Indicators!C16*100</f>
        <v>4.2332761578044575</v>
      </c>
      <c r="D16" s="8">
        <f>Finance_Indicators!D16/Finance_Indicators!C16*100</f>
        <v>1.9531160663236131</v>
      </c>
      <c r="E16" s="9">
        <v>19.71</v>
      </c>
      <c r="F16" s="8">
        <v>21.78</v>
      </c>
      <c r="G16" s="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4F06-7AE3-46F1-9B14-574D02F16DE9}">
  <dimension ref="A1:F16"/>
  <sheetViews>
    <sheetView workbookViewId="0">
      <selection activeCell="F24" sqref="F24"/>
    </sheetView>
  </sheetViews>
  <sheetFormatPr defaultRowHeight="14.4" x14ac:dyDescent="0.3"/>
  <cols>
    <col min="3" max="3" width="17.5546875" customWidth="1"/>
    <col min="4" max="4" width="17.44140625" customWidth="1"/>
    <col min="5" max="5" width="15.6640625" customWidth="1"/>
    <col min="6" max="6" width="14.6640625" customWidth="1"/>
  </cols>
  <sheetData>
    <row r="1" spans="1:6" ht="28.8" x14ac:dyDescent="0.3">
      <c r="A1" s="3" t="s">
        <v>1</v>
      </c>
      <c r="B1" s="3" t="s">
        <v>24</v>
      </c>
      <c r="C1" s="4" t="s">
        <v>25</v>
      </c>
      <c r="D1" s="4" t="s">
        <v>26</v>
      </c>
      <c r="E1" s="2" t="s">
        <v>35</v>
      </c>
      <c r="F1" s="2" t="s">
        <v>36</v>
      </c>
    </row>
    <row r="2" spans="1:6" x14ac:dyDescent="0.3">
      <c r="A2" t="s">
        <v>11</v>
      </c>
      <c r="B2">
        <v>2025</v>
      </c>
      <c r="C2" s="5">
        <v>162990</v>
      </c>
      <c r="D2" s="5">
        <v>26713</v>
      </c>
      <c r="E2" s="6">
        <f>(C2/$C$6)*100</f>
        <v>162.22430129787404</v>
      </c>
      <c r="F2" s="6">
        <f>(D2/$D$6)*100</f>
        <v>138.04454550152448</v>
      </c>
    </row>
    <row r="3" spans="1:6" x14ac:dyDescent="0.3">
      <c r="A3" t="s">
        <v>11</v>
      </c>
      <c r="B3">
        <v>2024</v>
      </c>
      <c r="C3" s="5">
        <v>153670</v>
      </c>
      <c r="D3" s="5">
        <v>26233</v>
      </c>
      <c r="E3" s="6">
        <f t="shared" ref="E3:E6" si="0">(C3/$C$6)*100</f>
        <v>152.94808503861773</v>
      </c>
      <c r="F3" s="6">
        <f t="shared" ref="F3:F6" si="1">(D3/$D$6)*100</f>
        <v>135.56405353728488</v>
      </c>
    </row>
    <row r="4" spans="1:6" x14ac:dyDescent="0.3">
      <c r="A4" t="s">
        <v>11</v>
      </c>
      <c r="B4">
        <v>2023</v>
      </c>
      <c r="C4" s="5">
        <v>146767</v>
      </c>
      <c r="D4" s="5">
        <v>24095</v>
      </c>
      <c r="E4" s="6">
        <f t="shared" si="0"/>
        <v>146.07751413329086</v>
      </c>
      <c r="F4" s="6">
        <f t="shared" si="1"/>
        <v>124.51552891323445</v>
      </c>
    </row>
    <row r="5" spans="1:6" x14ac:dyDescent="0.3">
      <c r="A5" t="s">
        <v>11</v>
      </c>
      <c r="B5">
        <v>2022</v>
      </c>
      <c r="C5" s="5">
        <v>121641</v>
      </c>
      <c r="D5" s="5">
        <v>22110</v>
      </c>
      <c r="E5" s="6">
        <f t="shared" si="0"/>
        <v>121.06955171590094</v>
      </c>
      <c r="F5" s="6">
        <f t="shared" si="1"/>
        <v>114.25766110278539</v>
      </c>
    </row>
    <row r="6" spans="1:6" x14ac:dyDescent="0.3">
      <c r="A6" t="s">
        <v>11</v>
      </c>
      <c r="B6">
        <v>2021</v>
      </c>
      <c r="C6" s="5">
        <v>100472</v>
      </c>
      <c r="D6" s="5">
        <v>19351</v>
      </c>
      <c r="E6" s="6">
        <f t="shared" si="0"/>
        <v>100</v>
      </c>
      <c r="F6" s="6">
        <f t="shared" si="1"/>
        <v>100</v>
      </c>
    </row>
    <row r="7" spans="1:6" x14ac:dyDescent="0.3">
      <c r="A7" t="s">
        <v>12</v>
      </c>
      <c r="B7">
        <v>2025</v>
      </c>
      <c r="C7" s="5">
        <v>12050.7</v>
      </c>
      <c r="D7" s="5">
        <v>932.6</v>
      </c>
      <c r="E7" s="6">
        <f>(C7/$C$11)*100</f>
        <v>258.4434245517715</v>
      </c>
      <c r="F7" s="6">
        <f>(D7/$D$11)*100</f>
        <v>200.12875536480686</v>
      </c>
    </row>
    <row r="8" spans="1:6" x14ac:dyDescent="0.3">
      <c r="A8" t="s">
        <v>12</v>
      </c>
      <c r="B8">
        <v>2024</v>
      </c>
      <c r="C8" s="5">
        <v>9179</v>
      </c>
      <c r="D8" s="5">
        <v>835.6</v>
      </c>
      <c r="E8" s="6">
        <f t="shared" ref="E8:E11" si="2">(C8/$C$11)*100</f>
        <v>196.85596637213692</v>
      </c>
      <c r="F8" s="6">
        <f t="shared" ref="F8:F11" si="3">(D8/$D$11)*100</f>
        <v>179.31330472103005</v>
      </c>
    </row>
    <row r="9" spans="1:6" x14ac:dyDescent="0.3">
      <c r="A9" t="s">
        <v>12</v>
      </c>
      <c r="B9">
        <v>2023</v>
      </c>
      <c r="C9" s="5">
        <v>8014.6</v>
      </c>
      <c r="D9" s="5">
        <v>745.1</v>
      </c>
      <c r="E9" s="6">
        <f t="shared" si="2"/>
        <v>171.88384661576734</v>
      </c>
      <c r="F9" s="6">
        <f t="shared" si="3"/>
        <v>159.89270386266094</v>
      </c>
    </row>
    <row r="10" spans="1:6" x14ac:dyDescent="0.3">
      <c r="A10" t="s">
        <v>12</v>
      </c>
      <c r="B10">
        <v>2022</v>
      </c>
      <c r="C10" s="6">
        <v>6432</v>
      </c>
      <c r="D10" s="7">
        <v>714.7</v>
      </c>
      <c r="E10" s="6">
        <f t="shared" si="2"/>
        <v>137.94286694689885</v>
      </c>
      <c r="F10" s="6">
        <f t="shared" si="3"/>
        <v>153.36909871244637</v>
      </c>
    </row>
    <row r="11" spans="1:6" x14ac:dyDescent="0.3">
      <c r="A11" t="s">
        <v>12</v>
      </c>
      <c r="B11">
        <v>2021</v>
      </c>
      <c r="C11" s="6">
        <v>4662.8</v>
      </c>
      <c r="D11" s="6">
        <v>466</v>
      </c>
      <c r="E11" s="6">
        <f t="shared" si="2"/>
        <v>100</v>
      </c>
      <c r="F11" s="6">
        <f t="shared" si="3"/>
        <v>100</v>
      </c>
    </row>
    <row r="12" spans="1:6" x14ac:dyDescent="0.3">
      <c r="A12" t="s">
        <v>14</v>
      </c>
      <c r="B12">
        <v>2025</v>
      </c>
      <c r="C12">
        <v>1273.93</v>
      </c>
      <c r="D12">
        <v>72.489999999999995</v>
      </c>
      <c r="E12" s="6">
        <f>(C12/$C$16)*100</f>
        <v>291.35048599199547</v>
      </c>
      <c r="F12" s="6">
        <f>(D12/$D$16)*100</f>
        <v>848.82903981264644</v>
      </c>
    </row>
    <row r="13" spans="1:6" x14ac:dyDescent="0.3">
      <c r="A13" t="s">
        <v>14</v>
      </c>
      <c r="B13">
        <v>2024</v>
      </c>
      <c r="C13">
        <v>1028.8499999999999</v>
      </c>
      <c r="D13">
        <v>53.81</v>
      </c>
      <c r="E13" s="6">
        <f t="shared" ref="E13:E16" si="4">(C13/$C$16)*100</f>
        <v>235.30017152658661</v>
      </c>
      <c r="F13" s="6">
        <f t="shared" ref="F13:F16" si="5">(D13/$D$16)*100</f>
        <v>630.09367681498838</v>
      </c>
    </row>
    <row r="14" spans="1:6" x14ac:dyDescent="0.3">
      <c r="A14" t="s">
        <v>14</v>
      </c>
      <c r="B14">
        <v>2023</v>
      </c>
      <c r="C14">
        <v>806.77</v>
      </c>
      <c r="D14">
        <v>33.450000000000003</v>
      </c>
      <c r="E14" s="6">
        <f t="shared" si="4"/>
        <v>184.5100057175529</v>
      </c>
      <c r="F14" s="6">
        <f t="shared" si="5"/>
        <v>391.68618266978933</v>
      </c>
    </row>
    <row r="15" spans="1:6" x14ac:dyDescent="0.3">
      <c r="A15" t="s">
        <v>14</v>
      </c>
      <c r="B15">
        <v>2022</v>
      </c>
      <c r="C15">
        <v>655.84</v>
      </c>
      <c r="D15">
        <v>16.43</v>
      </c>
      <c r="E15" s="6">
        <f t="shared" si="4"/>
        <v>149.9919954259577</v>
      </c>
      <c r="F15" s="6">
        <f t="shared" si="5"/>
        <v>192.38875878220142</v>
      </c>
    </row>
    <row r="16" spans="1:6" x14ac:dyDescent="0.3">
      <c r="A16" t="s">
        <v>14</v>
      </c>
      <c r="B16">
        <v>2021</v>
      </c>
      <c r="C16">
        <v>437.25</v>
      </c>
      <c r="D16">
        <v>8.5399999999999991</v>
      </c>
      <c r="E16" s="6">
        <f t="shared" si="4"/>
        <v>100</v>
      </c>
      <c r="F16" s="6">
        <f t="shared" si="5"/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6D2B-3B43-422E-9A66-4D0F18A276A7}">
  <dimension ref="A1"/>
  <sheetViews>
    <sheetView showGridLines="0" showRowColHeaders="0" topLeftCell="A5" zoomScale="33" workbookViewId="0">
      <selection activeCell="AX7" sqref="AX7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1572-E09D-4EA0-A5A3-77270A24F41C}">
  <dimension ref="A1"/>
  <sheetViews>
    <sheetView showGridLines="0" showRowColHeaders="0" zoomScale="51" workbookViewId="0">
      <selection activeCell="AG10" sqref="AG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A667-B397-49FC-8311-9D014CFE8133}">
  <dimension ref="A1"/>
  <sheetViews>
    <sheetView showGridLines="0" tabSelected="1" zoomScale="42" workbookViewId="0">
      <selection activeCell="R34" sqref="R3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Company-Info</vt:lpstr>
      <vt:lpstr>Finance_Indicators</vt:lpstr>
      <vt:lpstr>Ratios</vt:lpstr>
      <vt:lpstr>Index_Calculations</vt:lpstr>
      <vt:lpstr>Scale&amp;Growth</vt:lpstr>
      <vt:lpstr>INDEXED_SCALE&amp;GROWTH</vt:lpstr>
      <vt:lpstr>Efficiency&amp;Returns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VARDHAN</dc:creator>
  <cp:lastModifiedBy>MEGHA VARDHAN</cp:lastModifiedBy>
  <dcterms:created xsi:type="dcterms:W3CDTF">2025-12-30T05:08:58Z</dcterms:created>
  <dcterms:modified xsi:type="dcterms:W3CDTF">2026-01-04T12:17:49Z</dcterms:modified>
</cp:coreProperties>
</file>